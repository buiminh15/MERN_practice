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Tools\"/>
    </mc:Choice>
  </mc:AlternateContent>
  <xr:revisionPtr revIDLastSave="0" documentId="13_ncr:1_{F0981C6A-A418-4859-A6C3-EB3CDEB26D8E}" xr6:coauthVersionLast="46" xr6:coauthVersionMax="46" xr10:uidLastSave="{00000000-0000-0000-0000-000000000000}"/>
  <bookViews>
    <workbookView xWindow="-120" yWindow="-120" windowWidth="29040" windowHeight="16440" xr2:uid="{9F454752-6F8E-46BF-8E1C-F8DD83F4795F}"/>
  </bookViews>
  <sheets>
    <sheet name="Projects" sheetId="1" r:id="rId1"/>
    <sheet name="LogBug" sheetId="2" r:id="rId2"/>
    <sheet name="UpdateBug" sheetId="11" r:id="rId3"/>
    <sheet name="Sheet2" sheetId="12" r:id="rId4"/>
    <sheet name="Sheet3" sheetId="1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1" i="13"/>
</calcChain>
</file>

<file path=xl/sharedStrings.xml><?xml version="1.0" encoding="utf-8"?>
<sst xmlns="http://schemas.openxmlformats.org/spreadsheetml/2006/main" count="176" uniqueCount="81">
  <si>
    <t>TEST_MINHBB</t>
  </si>
  <si>
    <t>Project</t>
  </si>
  <si>
    <t>subject</t>
  </si>
  <si>
    <t>description</t>
  </si>
  <si>
    <t>tracker</t>
  </si>
  <si>
    <t>Tên Project</t>
  </si>
  <si>
    <t>Mã Project</t>
  </si>
  <si>
    <t>Tên Tracker</t>
  </si>
  <si>
    <t>Mã Tracker</t>
  </si>
  <si>
    <t>Bug</t>
  </si>
  <si>
    <t>Tên Member</t>
  </si>
  <si>
    <t>Member Id</t>
  </si>
  <si>
    <t>minh1 minh1</t>
  </si>
  <si>
    <t>minh2 minh2</t>
  </si>
  <si>
    <t>Tên Priority</t>
  </si>
  <si>
    <t>Priority Id</t>
  </si>
  <si>
    <t>Done Ratio</t>
  </si>
  <si>
    <t>status</t>
  </si>
  <si>
    <t>priority</t>
  </si>
  <si>
    <t>author</t>
  </si>
  <si>
    <t>assignee</t>
  </si>
  <si>
    <t>start_date</t>
  </si>
  <si>
    <t>due_date</t>
  </si>
  <si>
    <t>done_ratio</t>
  </si>
  <si>
    <t>estimated_hours</t>
  </si>
  <si>
    <t>spent_hours</t>
  </si>
  <si>
    <t>inccurred_by</t>
  </si>
  <si>
    <t>Normal</t>
  </si>
  <si>
    <t>Tên Status</t>
  </si>
  <si>
    <t>Status Id</t>
  </si>
  <si>
    <t>New</t>
  </si>
  <si>
    <t>In Progress</t>
  </si>
  <si>
    <t>Closed</t>
  </si>
  <si>
    <t>Super Urgent</t>
  </si>
  <si>
    <t>Create</t>
  </si>
  <si>
    <t>OK</t>
  </si>
  <si>
    <t>SEND STATUS</t>
  </si>
  <si>
    <t>Issue_Id</t>
  </si>
  <si>
    <t>level</t>
  </si>
  <si>
    <t>aaaa</t>
  </si>
  <si>
    <t xml:space="preserve"> &amp; _</t>
  </si>
  <si>
    <t>&lt;issue&gt;</t>
  </si>
  <si>
    <t>&lt;id&gt;62&lt;/id&gt;</t>
  </si>
  <si>
    <t>&lt;project id="1" name="TEST_MINHBB" /&gt;</t>
  </si>
  <si>
    <t>&lt;tracker id="1" name="Bug" /&gt;</t>
  </si>
  <si>
    <t>&lt;status id="5" name="In Progress" /&gt;</t>
  </si>
  <si>
    <t>&lt;priority id="1" name="Normal" /&gt;</t>
  </si>
  <si>
    <t>&lt;author id="3" name="Anonymous" /&gt;</t>
  </si>
  <si>
    <t>&lt;assigned_to id="5" name="minh2 minh2" /&gt;</t>
  </si>
  <si>
    <t>&lt;subject&gt;rrrrrrrrnew 11&lt;/subject&gt;</t>
  </si>
  <si>
    <t>&lt;description /&gt;</t>
  </si>
  <si>
    <t>&lt;start_date&gt;2020-08-30&lt;/start_date&gt;</t>
  </si>
  <si>
    <t>&lt;due_date /&gt;</t>
  </si>
  <si>
    <t>&lt;done_ratio&gt;0&lt;/done_ratio&gt;</t>
  </si>
  <si>
    <t>&lt;estimated_hours /&gt;</t>
  </si>
  <si>
    <t>&lt;custom_fields type="array"&gt;</t>
  </si>
  <si>
    <t xml:space="preserve"> &lt;custom_field id="1" name="Inccurred by"&gt;</t>
  </si>
  <si>
    <t xml:space="preserve">    &lt;value&gt;Multiple values&lt;/value&gt;</t>
  </si>
  <si>
    <t xml:space="preserve"> &lt;/custom_field&gt;</t>
  </si>
  <si>
    <t xml:space="preserve"> &lt;custom_field id="2" name="level"&gt;</t>
  </si>
  <si>
    <t xml:space="preserve">    &lt;value /&gt;</t>
  </si>
  <si>
    <t>&lt;/custom_fields&gt;</t>
  </si>
  <si>
    <t>&lt;created_on&gt;2020-08-30T06:07:16Z&lt;/created_on&gt;</t>
  </si>
  <si>
    <t>&lt;updated_on&gt;2020-08-30T06:07:16Z&lt;/updated_on&gt;</t>
  </si>
  <si>
    <t>&lt;closed_on /&gt;</t>
  </si>
  <si>
    <t>&lt;/issue&gt;</t>
  </si>
  <si>
    <t>"</t>
  </si>
  <si>
    <t>chó</t>
  </si>
  <si>
    <t>Resolved</t>
  </si>
  <si>
    <t>Feedback</t>
  </si>
  <si>
    <t>Review</t>
  </si>
  <si>
    <t>Waiting for release</t>
  </si>
  <si>
    <t>Cancelled</t>
  </si>
  <si>
    <t>Pending</t>
  </si>
  <si>
    <t>Reopened</t>
  </si>
  <si>
    <t>Urgent</t>
  </si>
  <si>
    <t>Cancel</t>
  </si>
  <si>
    <t>issue_id</t>
  </si>
  <si>
    <t>parent_issue_id</t>
  </si>
  <si>
    <t>sss</t>
  </si>
  <si>
    <t>assaaaaaaaaaaaaaaaa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</si>
</sst>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 vertical="top" wrapText="1"/>
    </xf>
    <xf numFmtId="0" fontId="3" fillId="2" borderId="0" xfId="0" applyFont="1" applyFill="1"/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5" fillId="3" borderId="1" xfId="0" applyFont="1" applyFill="1" applyBorder="1"/>
    <xf numFmtId="0" fontId="5" fillId="3" borderId="2" xfId="0" applyFont="1" applyFill="1" applyBorder="1"/>
    <xf numFmtId="0" fontId="5" fillId="3" borderId="3" xfId="0" applyFont="1" applyFill="1" applyBorder="1"/>
    <xf numFmtId="14" fontId="0" fillId="0" borderId="0" xfId="0" applyNumberFormat="1"/>
    <xf numFmtId="14" fontId="0" fillId="0" borderId="0" xfId="0" applyNumberFormat="1" applyAlignment="1">
      <alignment horizontal="left" vertical="top"/>
    </xf>
  </cellXfs>
  <cellStyles count="1">
    <cellStyle name="Normal" xfId="0" builtinId="0"/>
  </cellStyles>
  <dxfs count="19"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Projects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0</xdr:row>
          <xdr:rowOff>0</xdr:rowOff>
        </xdr:from>
        <xdr:to>
          <xdr:col>11</xdr:col>
          <xdr:colOff>525780</xdr:colOff>
          <xdr:row>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6210300" y="0"/>
              <a:ext cx="3049905" cy="390525"/>
              <a:chOff x="12877807" y="0"/>
              <a:chExt cx="3055624" cy="388620"/>
            </a:xfrm>
          </xdr:grpSpPr>
          <xdr:sp macro="" textlink="">
            <xdr:nvSpPr>
              <xdr:cNvPr id="2090" name="Button 42" hidden="1">
                <a:extLst>
                  <a:ext uri="{63B3BB69-23CF-44E3-9099-C40C66FF867C}">
                    <a14:compatExt spid="_x0000_s2090"/>
                  </a:ext>
                  <a:ext uri="{FF2B5EF4-FFF2-40B4-BE49-F238E27FC236}">
                    <a16:creationId xmlns:a16="http://schemas.microsoft.com/office/drawing/2014/main" id="{00000000-0008-0000-0100-00002A080000}"/>
                  </a:ext>
                </a:extLst>
              </xdr:cNvPr>
              <xdr:cNvSpPr/>
            </xdr:nvSpPr>
            <xdr:spPr bwMode="auto">
              <a:xfrm>
                <a:off x="12877807" y="0"/>
                <a:ext cx="1150621" cy="3886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Load Data</a:t>
                </a:r>
              </a:p>
            </xdr:txBody>
          </xdr:sp>
          <xdr:sp macro="" textlink="">
            <xdr:nvSpPr>
              <xdr:cNvPr id="2091" name="Button 43" hidden="1">
                <a:extLst>
                  <a:ext uri="{63B3BB69-23CF-44E3-9099-C40C66FF867C}">
                    <a14:compatExt spid="_x0000_s2091"/>
                  </a:ext>
                  <a:ext uri="{FF2B5EF4-FFF2-40B4-BE49-F238E27FC236}">
                    <a16:creationId xmlns:a16="http://schemas.microsoft.com/office/drawing/2014/main" id="{00000000-0008-0000-0100-00002B080000}"/>
                  </a:ext>
                </a:extLst>
              </xdr:cNvPr>
              <xdr:cNvSpPr/>
            </xdr:nvSpPr>
            <xdr:spPr bwMode="auto">
              <a:xfrm>
                <a:off x="14683751" y="22860"/>
                <a:ext cx="1249680" cy="3581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Create Issues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0</xdr:row>
          <xdr:rowOff>0</xdr:rowOff>
        </xdr:from>
        <xdr:to>
          <xdr:col>18</xdr:col>
          <xdr:colOff>381000</xdr:colOff>
          <xdr:row>1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CD4A5D-5041-4BA5-BDA7-D224D8031F60}" name="ProjectName" displayName="ProjectName" ref="A4:B24" totalsRowShown="0">
  <autoFilter ref="A4:B24" xr:uid="{1CBEBFD2-1A96-4530-A2D1-3D9B77C511EB}"/>
  <tableColumns count="2">
    <tableColumn id="3" xr3:uid="{BAD727E0-7B98-4F13-A465-5732C25C6E6C}" name="Tên Project"/>
    <tableColumn id="4" xr3:uid="{BB91E30E-9DA7-4E2E-BF93-3F771DE934D0}" name="Mã Projec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8620B5-3376-4E7B-8C29-7DA39DE35D78}" name="Table2" displayName="Table2" ref="C4:D24" totalsRowShown="0">
  <autoFilter ref="C4:D24" xr:uid="{0DF80400-6B6E-4ED9-9CF9-4AC705CF8D0F}"/>
  <tableColumns count="2">
    <tableColumn id="1" xr3:uid="{CA7E52CE-7BBD-4ED3-B270-B33F85EC8A4F}" name="Tên Tracker"/>
    <tableColumn id="3" xr3:uid="{7D1303ED-806E-4D04-9B6A-FF0FB2C2DF9E}" name="Mã Track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288FF7-2C5D-4372-8644-41A078BB5A57}" name="Table4" displayName="Table4" ref="E4:F24" totalsRowShown="0">
  <autoFilter ref="E4:F24" xr:uid="{238EF449-2B12-4494-8443-E148E09AC9AE}"/>
  <tableColumns count="2">
    <tableColumn id="1" xr3:uid="{A986277B-FDA6-4DD6-A600-3DCC8BCB42F1}" name="Tên Member"/>
    <tableColumn id="2" xr3:uid="{ED14FC20-26C5-46C9-9152-F1286DC8C22E}" name="Member 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989FDB-86FC-49A5-B656-E6A813ADC65B}" name="Table3" displayName="Table3" ref="G4:H24" totalsRowShown="0">
  <autoFilter ref="G4:H24" xr:uid="{5B9D653A-6D44-4CDD-859D-768ACF3C7D40}"/>
  <tableColumns count="2">
    <tableColumn id="1" xr3:uid="{74C1D554-CF50-4609-8A87-4E6B411C6FCC}" name="Tên Priority"/>
    <tableColumn id="2" xr3:uid="{44BB1A2B-592E-46ED-A8D1-92DDC0167D16}" name="Priority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10B65-8271-460C-82FE-BC1EA4AFE47C}" name="Table5" displayName="Table5" ref="I4:I24" totalsRowShown="0">
  <autoFilter ref="I4:I24" xr:uid="{F599DC21-105A-4F8B-A019-A4E99C1509A7}"/>
  <tableColumns count="1">
    <tableColumn id="1" xr3:uid="{8101DE12-86B6-46DF-8F49-CF8CA591EBD1}" name="Done Rati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3DF6A1-8699-4217-ADCB-A4372BF9AA03}" name="Table8" displayName="Table8" ref="J4:K24" totalsRowShown="0">
  <autoFilter ref="J4:K24" xr:uid="{8A71BE85-31E1-4258-AB2E-0DD02A939A81}"/>
  <tableColumns count="2">
    <tableColumn id="1" xr3:uid="{34A8AB29-3A56-44FB-BB46-FA4FB5BC8D8C}" name="Tên Status"/>
    <tableColumn id="2" xr3:uid="{693B27CF-8F9C-4B4B-8C37-4E3DB5E5C3CF}" name="Status 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F5BB-5518-47EF-B492-8A2FBCC1750D}" name="Table7" displayName="Table7" ref="L4:L24" totalsRowShown="0">
  <autoFilter ref="L4:L24" xr:uid="{6B7697E0-050A-4602-815B-DCAD6A515C29}"/>
  <tableColumns count="1">
    <tableColumn id="1" xr3:uid="{89BC4FA5-877A-41EB-AD4C-17F6167F3E69}" name="Cre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7255A8-EA48-4C0C-A18C-62F8EB4C05CA}" name="LogBugTable" displayName="LogBugTable" ref="A4:P25" totalsRowShown="0" dataDxfId="18">
  <autoFilter ref="A4:P25" xr:uid="{17C395B1-4783-4B7D-A5E0-1C4C8AEF6F6C}"/>
  <tableColumns count="16">
    <tableColumn id="2" xr3:uid="{2692EA5C-3898-411A-81D2-D312901DF0AB}" name="parent_issue_id" dataDxfId="17"/>
    <tableColumn id="1" xr3:uid="{9E153A93-C947-4D39-9F2D-99163984344C}" name="issue_id" dataDxfId="16"/>
    <tableColumn id="3" xr3:uid="{15147B88-F283-4246-8AB8-F037019C4904}" name="tracker" dataDxfId="15"/>
    <tableColumn id="4" xr3:uid="{82E241E0-6828-40D7-A381-610FBCC87BA2}" name="status" dataDxfId="14"/>
    <tableColumn id="5" xr3:uid="{6CD59D5D-8FBB-4F3C-B85A-CA87C7A1ADCD}" name="priority" dataDxfId="13"/>
    <tableColumn id="6" xr3:uid="{277C6C74-23CC-41F9-BA7B-7DD9F2495FEA}" name="author" dataDxfId="12"/>
    <tableColumn id="7" xr3:uid="{C071EFB3-1D3F-4E80-B12C-4B72D65903AD}" name="assignee" dataDxfId="11"/>
    <tableColumn id="8" xr3:uid="{658B218F-269D-4348-89FF-9F176D3E07EC}" name="subject" dataDxfId="10"/>
    <tableColumn id="9" xr3:uid="{382473DE-D91D-4170-B31D-4D55E3A6413F}" name="description" dataDxfId="9"/>
    <tableColumn id="10" xr3:uid="{33B0A28A-8333-4642-A162-79E36CC9E984}" name="start_date" dataDxfId="8"/>
    <tableColumn id="11" xr3:uid="{6749B7CA-7EC2-42DF-9DE2-314ADB26B3F0}" name="due_date" dataDxfId="7"/>
    <tableColumn id="12" xr3:uid="{AD4D76F6-3EDB-46A1-BE70-9956BBB87445}" name="done_ratio" dataDxfId="6"/>
    <tableColumn id="13" xr3:uid="{CF42B943-39F1-4601-81D9-9B1E53FE7BFC}" name="estimated_hours" dataDxfId="5"/>
    <tableColumn id="14" xr3:uid="{4869C2BF-1FED-46FA-BD21-3780D7A6E848}" name="spent_hours" dataDxfId="4"/>
    <tableColumn id="15" xr3:uid="{BFAE210D-6AB6-4DD6-9939-42157E259786}" name="inccurred_by" dataDxfId="3"/>
    <tableColumn id="16" xr3:uid="{097AE66A-4FF7-4933-9F10-858C1EF38D0E}" name="SEND STATUS" dataDxfId="2"/>
  </tableColumns>
  <tableStyleInfo name="TableStyleMedium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3CE0DE-B65B-4F8A-B406-711FE42C327C}" name="UpdateBugTable" displayName="UpdateBugTable" ref="A5:P15" totalsRowShown="0" headerRowDxfId="1" headerRowBorderDxfId="0">
  <autoFilter ref="A5:P15" xr:uid="{6AEA252F-D398-45C2-8872-CCE24F40B98E}"/>
  <tableColumns count="16">
    <tableColumn id="1" xr3:uid="{0720D52E-C841-4156-A4AA-21CD7983D08E}" name="Project"/>
    <tableColumn id="2" xr3:uid="{E56E510B-F3D7-45C9-99E2-7296DEDF8EF7}" name="Issue_Id"/>
    <tableColumn id="3" xr3:uid="{32B42204-FB57-4EB7-AF47-9DEC46448368}" name="tracker"/>
    <tableColumn id="4" xr3:uid="{D172EE98-D8A8-41BF-8AFB-A1F155A31D75}" name="status"/>
    <tableColumn id="5" xr3:uid="{6F25094D-FE18-4DE5-84BC-1894CE6A14B6}" name="priority"/>
    <tableColumn id="6" xr3:uid="{8B7534F6-D0E7-4E81-BA3F-CD1C7F9F2B0B}" name="author"/>
    <tableColumn id="7" xr3:uid="{D52D0FD8-EA88-4359-B00F-ED23784C1DE8}" name="assignee"/>
    <tableColumn id="8" xr3:uid="{920536FE-A87B-41DE-9721-F87D36150440}" name="subject"/>
    <tableColumn id="9" xr3:uid="{C83BE7AF-73D7-4A7B-B8EC-3EB4E58E8A27}" name="description"/>
    <tableColumn id="10" xr3:uid="{6756FF3E-2147-414B-8DBA-C48782358DC9}" name="start_date"/>
    <tableColumn id="11" xr3:uid="{1003CFED-6006-48C9-9AF6-0C02E00431FB}" name="due_date"/>
    <tableColumn id="12" xr3:uid="{85C4B8D6-1B2A-41D6-82EF-0C82AFA3848C}" name="done_ratio"/>
    <tableColumn id="13" xr3:uid="{0DD4FD82-400E-4921-B338-D317636CE186}" name="estimated_hours"/>
    <tableColumn id="14" xr3:uid="{A3D6FCFE-472D-4FBB-A97D-25535A7E2F67}" name="inccurred_by"/>
    <tableColumn id="15" xr3:uid="{44AC62E0-ADE5-4EE5-93D3-4977CDC4D273}" name="level"/>
    <tableColumn id="16" xr3:uid="{9FD02859-D811-4B2A-8838-5E90400140BA}" name="SEND 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7BD4E-690B-4E69-9D28-86AC6BD7CE3A}">
  <sheetPr codeName="Sheet1"/>
  <dimension ref="A3:L15"/>
  <sheetViews>
    <sheetView tabSelected="1" zoomScale="120" zoomScaleNormal="120" workbookViewId="0">
      <selection activeCell="I5" sqref="I5"/>
    </sheetView>
  </sheetViews>
  <sheetFormatPr defaultRowHeight="15" x14ac:dyDescent="0.25"/>
  <cols>
    <col min="1" max="1" width="14.42578125" bestFit="1" customWidth="1"/>
    <col min="2" max="2" width="10" customWidth="1"/>
    <col min="3" max="3" width="13.42578125" bestFit="1" customWidth="1"/>
    <col min="4" max="4" width="13" bestFit="1" customWidth="1"/>
    <col min="5" max="5" width="14.7109375" bestFit="1" customWidth="1"/>
    <col min="6" max="6" width="13.85546875" customWidth="1"/>
    <col min="7" max="7" width="13.5703125" bestFit="1" customWidth="1"/>
    <col min="8" max="8" width="11.85546875" customWidth="1"/>
    <col min="9" max="9" width="12.85546875" customWidth="1"/>
    <col min="10" max="10" width="12.42578125" bestFit="1" customWidth="1"/>
    <col min="11" max="11" width="10.42578125" customWidth="1"/>
  </cols>
  <sheetData>
    <row r="3" spans="1:12" x14ac:dyDescent="0.25">
      <c r="A3" s="1"/>
      <c r="B3" s="1"/>
      <c r="C3" s="2"/>
    </row>
    <row r="4" spans="1:12" x14ac:dyDescent="0.25">
      <c r="A4" t="s">
        <v>5</v>
      </c>
      <c r="B4" t="s">
        <v>6</v>
      </c>
      <c r="C4" t="s">
        <v>7</v>
      </c>
      <c r="D4" t="s">
        <v>8</v>
      </c>
      <c r="E4" t="s">
        <v>10</v>
      </c>
      <c r="F4" t="s">
        <v>11</v>
      </c>
      <c r="G4" t="s">
        <v>14</v>
      </c>
      <c r="H4" t="s">
        <v>15</v>
      </c>
      <c r="I4" t="s">
        <v>16</v>
      </c>
      <c r="J4" t="s">
        <v>28</v>
      </c>
      <c r="K4" t="s">
        <v>29</v>
      </c>
      <c r="L4" t="s">
        <v>34</v>
      </c>
    </row>
    <row r="5" spans="1:12" x14ac:dyDescent="0.25">
      <c r="A5" t="s">
        <v>0</v>
      </c>
      <c r="B5">
        <v>1</v>
      </c>
      <c r="C5" t="s">
        <v>9</v>
      </c>
      <c r="D5">
        <v>1</v>
      </c>
      <c r="E5" t="s">
        <v>12</v>
      </c>
      <c r="F5">
        <v>4</v>
      </c>
      <c r="G5" t="s">
        <v>27</v>
      </c>
      <c r="H5">
        <v>1</v>
      </c>
      <c r="I5">
        <v>1</v>
      </c>
      <c r="J5" t="s">
        <v>30</v>
      </c>
      <c r="K5">
        <v>6</v>
      </c>
      <c r="L5" t="s">
        <v>35</v>
      </c>
    </row>
    <row r="6" spans="1:12" x14ac:dyDescent="0.25">
      <c r="E6" t="s">
        <v>13</v>
      </c>
      <c r="F6">
        <v>5</v>
      </c>
      <c r="G6" t="s">
        <v>75</v>
      </c>
      <c r="H6">
        <v>2</v>
      </c>
      <c r="I6">
        <v>2</v>
      </c>
      <c r="J6" t="s">
        <v>31</v>
      </c>
      <c r="K6">
        <v>5</v>
      </c>
      <c r="L6" t="s">
        <v>76</v>
      </c>
    </row>
    <row r="7" spans="1:12" x14ac:dyDescent="0.25">
      <c r="G7" t="s">
        <v>33</v>
      </c>
      <c r="H7">
        <v>3</v>
      </c>
      <c r="I7">
        <v>3</v>
      </c>
      <c r="J7" t="s">
        <v>68</v>
      </c>
      <c r="K7">
        <v>9</v>
      </c>
    </row>
    <row r="8" spans="1:12" x14ac:dyDescent="0.25">
      <c r="I8">
        <v>30</v>
      </c>
      <c r="J8" t="s">
        <v>69</v>
      </c>
      <c r="K8">
        <v>10</v>
      </c>
    </row>
    <row r="9" spans="1:12" x14ac:dyDescent="0.25">
      <c r="I9">
        <v>40</v>
      </c>
      <c r="J9" t="s">
        <v>70</v>
      </c>
      <c r="K9">
        <v>11</v>
      </c>
    </row>
    <row r="10" spans="1:12" x14ac:dyDescent="0.25">
      <c r="I10">
        <v>50</v>
      </c>
      <c r="J10" t="s">
        <v>71</v>
      </c>
      <c r="K10">
        <v>12</v>
      </c>
    </row>
    <row r="11" spans="1:12" x14ac:dyDescent="0.25">
      <c r="I11">
        <v>60</v>
      </c>
      <c r="J11" t="s">
        <v>32</v>
      </c>
      <c r="K11">
        <v>7</v>
      </c>
    </row>
    <row r="12" spans="1:12" x14ac:dyDescent="0.25">
      <c r="I12">
        <v>70</v>
      </c>
      <c r="J12" t="s">
        <v>72</v>
      </c>
      <c r="K12">
        <v>13</v>
      </c>
    </row>
    <row r="13" spans="1:12" x14ac:dyDescent="0.25">
      <c r="I13">
        <v>80</v>
      </c>
      <c r="J13" t="s">
        <v>73</v>
      </c>
      <c r="K13">
        <v>14</v>
      </c>
    </row>
    <row r="14" spans="1:12" x14ac:dyDescent="0.25">
      <c r="I14">
        <v>90</v>
      </c>
      <c r="J14" t="s">
        <v>74</v>
      </c>
      <c r="K14">
        <v>15</v>
      </c>
    </row>
    <row r="15" spans="1:12" x14ac:dyDescent="0.25">
      <c r="I15">
        <v>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AllSheetProjects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F714B-EE94-46A3-A06F-A7DA341FF15C}">
  <sheetPr codeName="Sheet2"/>
  <dimension ref="A1:P25"/>
  <sheetViews>
    <sheetView zoomScaleNormal="100" workbookViewId="0">
      <selection activeCell="Q4" sqref="Q4"/>
    </sheetView>
  </sheetViews>
  <sheetFormatPr defaultRowHeight="15" x14ac:dyDescent="0.25"/>
  <cols>
    <col min="1" max="1" width="10.5703125" customWidth="1"/>
    <col min="2" max="2" width="10.7109375" customWidth="1"/>
    <col min="3" max="3" width="12.5703125" bestFit="1" customWidth="1"/>
    <col min="4" max="4" width="9.140625" customWidth="1"/>
    <col min="5" max="5" width="11" bestFit="1" customWidth="1"/>
    <col min="6" max="6" width="10.5703125" customWidth="1"/>
    <col min="7" max="7" width="11" customWidth="1"/>
    <col min="8" max="8" width="12.28515625" bestFit="1" customWidth="1"/>
    <col min="9" max="9" width="11.7109375" customWidth="1"/>
    <col min="10" max="10" width="13" bestFit="1" customWidth="1"/>
    <col min="11" max="11" width="18.42578125" customWidth="1"/>
    <col min="12" max="12" width="14.28515625" customWidth="1"/>
    <col min="13" max="13" width="14.7109375" bestFit="1" customWidth="1"/>
    <col min="14" max="14" width="14.7109375" customWidth="1"/>
  </cols>
  <sheetData>
    <row r="1" spans="1:16" ht="15.75" x14ac:dyDescent="0.25">
      <c r="A1" s="4" t="s">
        <v>1</v>
      </c>
      <c r="B1" t="s">
        <v>0</v>
      </c>
    </row>
    <row r="4" spans="1:16" x14ac:dyDescent="0.25">
      <c r="A4" t="s">
        <v>78</v>
      </c>
      <c r="B4" t="s">
        <v>77</v>
      </c>
      <c r="C4" t="s">
        <v>4</v>
      </c>
      <c r="D4" t="s">
        <v>17</v>
      </c>
      <c r="E4" t="s">
        <v>18</v>
      </c>
      <c r="F4" t="s">
        <v>19</v>
      </c>
      <c r="G4" t="s">
        <v>20</v>
      </c>
      <c r="H4" t="s">
        <v>2</v>
      </c>
      <c r="I4" t="s">
        <v>3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t="s">
        <v>36</v>
      </c>
    </row>
    <row r="5" spans="1:16" x14ac:dyDescent="0.25">
      <c r="A5" s="5"/>
      <c r="B5" s="5"/>
      <c r="C5" s="5" t="s">
        <v>9</v>
      </c>
      <c r="D5" s="5" t="s">
        <v>31</v>
      </c>
      <c r="E5" s="5" t="s">
        <v>27</v>
      </c>
      <c r="F5" s="5"/>
      <c r="G5" s="5" t="s">
        <v>12</v>
      </c>
      <c r="H5" s="3" t="s">
        <v>79</v>
      </c>
      <c r="I5" s="3" t="s">
        <v>79</v>
      </c>
      <c r="J5" s="12">
        <v>44311</v>
      </c>
      <c r="K5" s="12">
        <v>44313</v>
      </c>
      <c r="L5" s="5"/>
      <c r="M5" s="5"/>
      <c r="N5" s="5"/>
      <c r="O5" s="5" t="s">
        <v>39</v>
      </c>
      <c r="P5" s="6" t="s">
        <v>35</v>
      </c>
    </row>
    <row r="6" spans="1:16" ht="30" x14ac:dyDescent="0.25">
      <c r="A6" s="5">
        <v>149</v>
      </c>
      <c r="B6" s="5"/>
      <c r="C6" s="5" t="s">
        <v>9</v>
      </c>
      <c r="D6" s="5" t="s">
        <v>31</v>
      </c>
      <c r="E6" s="5" t="s">
        <v>75</v>
      </c>
      <c r="F6" s="5"/>
      <c r="G6" s="5" t="s">
        <v>13</v>
      </c>
      <c r="H6" s="3" t="s">
        <v>79</v>
      </c>
      <c r="I6" s="3" t="s">
        <v>80</v>
      </c>
      <c r="J6" s="12">
        <v>44311</v>
      </c>
      <c r="K6" s="12">
        <v>44313</v>
      </c>
      <c r="L6" s="5"/>
      <c r="M6" s="5"/>
      <c r="N6" s="5"/>
      <c r="O6" s="5" t="s">
        <v>39</v>
      </c>
      <c r="P6" s="6" t="s">
        <v>35</v>
      </c>
    </row>
    <row r="7" spans="1:16" x14ac:dyDescent="0.25">
      <c r="A7" s="5"/>
      <c r="B7" s="5"/>
      <c r="C7" s="5"/>
      <c r="D7" s="5"/>
      <c r="E7" s="5"/>
      <c r="F7" s="5"/>
      <c r="G7" s="5"/>
      <c r="H7" s="3"/>
      <c r="I7" s="3"/>
      <c r="J7" s="5"/>
      <c r="K7" s="5"/>
      <c r="L7" s="5"/>
      <c r="M7" s="5"/>
      <c r="N7" s="5"/>
      <c r="O7" s="5"/>
      <c r="P7" s="6"/>
    </row>
    <row r="8" spans="1:16" x14ac:dyDescent="0.25">
      <c r="A8" s="5"/>
      <c r="B8" s="5"/>
      <c r="C8" s="5"/>
      <c r="D8" s="5"/>
      <c r="E8" s="5"/>
      <c r="F8" s="5"/>
      <c r="G8" s="5"/>
      <c r="H8" s="3"/>
      <c r="I8" s="3"/>
      <c r="J8" s="5"/>
      <c r="K8" s="5"/>
      <c r="L8" s="5"/>
      <c r="M8" s="5"/>
      <c r="N8" s="5"/>
      <c r="O8" s="5"/>
      <c r="P8" s="6"/>
    </row>
    <row r="9" spans="1:16" x14ac:dyDescent="0.25">
      <c r="A9" s="5"/>
      <c r="B9" s="5"/>
      <c r="C9" s="5"/>
      <c r="D9" s="5"/>
      <c r="E9" s="5"/>
      <c r="F9" s="5"/>
      <c r="G9" s="5"/>
      <c r="H9" s="3"/>
      <c r="I9" s="3"/>
      <c r="J9" s="5"/>
      <c r="K9" s="5"/>
      <c r="L9" s="5"/>
      <c r="M9" s="5"/>
      <c r="N9" s="5"/>
      <c r="O9" s="5"/>
      <c r="P9" s="6"/>
    </row>
    <row r="10" spans="1:16" ht="32.25" customHeight="1" x14ac:dyDescent="0.25">
      <c r="A10" s="5"/>
      <c r="B10" s="5"/>
      <c r="C10" s="5"/>
      <c r="D10" s="5"/>
      <c r="E10" s="5"/>
      <c r="F10" s="5"/>
      <c r="G10" s="5"/>
      <c r="H10" s="3"/>
      <c r="I10" s="3"/>
      <c r="J10" s="5"/>
      <c r="K10" s="5"/>
      <c r="L10" s="5"/>
      <c r="M10" s="5"/>
      <c r="N10" s="5"/>
      <c r="O10" s="5"/>
      <c r="P10" s="6"/>
    </row>
    <row r="11" spans="1:16" x14ac:dyDescent="0.25">
      <c r="A11" s="5"/>
      <c r="B11" s="5"/>
      <c r="C11" s="5"/>
      <c r="D11" s="5"/>
      <c r="E11" s="5"/>
      <c r="F11" s="5"/>
      <c r="G11" s="5"/>
      <c r="H11" s="3"/>
      <c r="I11" s="3"/>
      <c r="J11" s="5"/>
      <c r="K11" s="5"/>
      <c r="L11" s="5"/>
      <c r="M11" s="5"/>
      <c r="N11" s="5"/>
      <c r="O11" s="5"/>
      <c r="P11" s="6"/>
    </row>
    <row r="12" spans="1:16" x14ac:dyDescent="0.25">
      <c r="A12" s="5"/>
      <c r="B12" s="5"/>
      <c r="C12" s="5"/>
      <c r="D12" s="5"/>
      <c r="E12" s="5"/>
      <c r="F12" s="5"/>
      <c r="G12" s="5"/>
      <c r="H12" s="3"/>
      <c r="I12" s="3"/>
      <c r="J12" s="5"/>
      <c r="K12" s="5"/>
      <c r="L12" s="5"/>
      <c r="M12" s="5"/>
      <c r="N12" s="5"/>
      <c r="O12" s="5"/>
      <c r="P12" s="6"/>
    </row>
    <row r="13" spans="1:16" x14ac:dyDescent="0.25">
      <c r="A13" s="5"/>
      <c r="B13" s="5"/>
      <c r="C13" s="5"/>
      <c r="D13" s="5"/>
      <c r="E13" s="5"/>
      <c r="F13" s="5"/>
      <c r="G13" s="5"/>
      <c r="H13" s="3"/>
      <c r="I13" s="3"/>
      <c r="J13" s="5"/>
      <c r="K13" s="5"/>
      <c r="L13" s="5"/>
      <c r="M13" s="5"/>
      <c r="N13" s="5"/>
      <c r="O13" s="5"/>
      <c r="P13" s="6"/>
    </row>
    <row r="14" spans="1:16" x14ac:dyDescent="0.25">
      <c r="A14" s="5"/>
      <c r="B14" s="5"/>
      <c r="C14" s="5"/>
      <c r="D14" s="5"/>
      <c r="E14" s="5"/>
      <c r="F14" s="5"/>
      <c r="G14" s="5"/>
      <c r="H14" s="3"/>
      <c r="I14" s="3"/>
      <c r="J14" s="5"/>
      <c r="K14" s="5"/>
      <c r="L14" s="5"/>
      <c r="M14" s="5"/>
      <c r="N14" s="5"/>
      <c r="O14" s="5"/>
      <c r="P14" s="6"/>
    </row>
    <row r="15" spans="1:16" x14ac:dyDescent="0.25">
      <c r="A15" s="5"/>
      <c r="B15" s="5"/>
      <c r="C15" s="5"/>
      <c r="D15" s="5"/>
      <c r="E15" s="5"/>
      <c r="F15" s="5"/>
      <c r="G15" s="5"/>
      <c r="H15" s="3"/>
      <c r="I15" s="3"/>
      <c r="J15" s="5"/>
      <c r="K15" s="5"/>
      <c r="L15" s="5"/>
      <c r="M15" s="5"/>
      <c r="N15" s="5"/>
      <c r="O15" s="5"/>
      <c r="P15" s="6"/>
    </row>
    <row r="16" spans="1:16" x14ac:dyDescent="0.25">
      <c r="A16" s="5"/>
      <c r="B16" s="5"/>
      <c r="C16" s="5"/>
      <c r="D16" s="5"/>
      <c r="E16" s="5"/>
      <c r="F16" s="5"/>
      <c r="G16" s="5"/>
      <c r="H16" s="3"/>
      <c r="I16" s="3"/>
      <c r="J16" s="5"/>
      <c r="K16" s="5"/>
      <c r="L16" s="5"/>
      <c r="M16" s="5"/>
      <c r="N16" s="5"/>
      <c r="O16" s="5"/>
      <c r="P16" s="6"/>
    </row>
    <row r="17" spans="1:16" x14ac:dyDescent="0.25">
      <c r="A17" s="5"/>
      <c r="B17" s="5"/>
      <c r="C17" s="5"/>
      <c r="D17" s="5"/>
      <c r="E17" s="5"/>
      <c r="F17" s="5"/>
      <c r="G17" s="5"/>
      <c r="H17" s="3"/>
      <c r="I17" s="3"/>
      <c r="J17" s="5"/>
      <c r="K17" s="5"/>
      <c r="L17" s="5"/>
      <c r="M17" s="5"/>
      <c r="N17" s="5"/>
      <c r="O17" s="5"/>
      <c r="P17" s="6"/>
    </row>
    <row r="18" spans="1:16" x14ac:dyDescent="0.25">
      <c r="A18" s="5"/>
      <c r="B18" s="5"/>
      <c r="C18" s="5"/>
      <c r="D18" s="5"/>
      <c r="E18" s="5"/>
      <c r="F18" s="5"/>
      <c r="G18" s="5"/>
      <c r="H18" s="3"/>
      <c r="I18" s="3"/>
      <c r="J18" s="5"/>
      <c r="K18" s="5"/>
      <c r="L18" s="5"/>
      <c r="M18" s="5"/>
      <c r="N18" s="5"/>
      <c r="O18" s="5"/>
      <c r="P18" s="6"/>
    </row>
    <row r="19" spans="1:16" x14ac:dyDescent="0.25">
      <c r="A19" s="5"/>
      <c r="B19" s="5"/>
      <c r="C19" s="5"/>
      <c r="D19" s="5"/>
      <c r="E19" s="5"/>
      <c r="F19" s="5"/>
      <c r="G19" s="5"/>
      <c r="H19" s="3"/>
      <c r="I19" s="3"/>
      <c r="J19" s="5"/>
      <c r="K19" s="5"/>
      <c r="L19" s="5"/>
      <c r="M19" s="5"/>
      <c r="N19" s="5"/>
      <c r="O19" s="5"/>
      <c r="P19" s="6"/>
    </row>
    <row r="20" spans="1:16" x14ac:dyDescent="0.25">
      <c r="A20" s="5"/>
      <c r="B20" s="5"/>
      <c r="C20" s="5"/>
      <c r="D20" s="5"/>
      <c r="E20" s="5"/>
      <c r="F20" s="5"/>
      <c r="G20" s="5"/>
      <c r="H20" s="3"/>
      <c r="I20" s="3"/>
      <c r="J20" s="5"/>
      <c r="K20" s="5"/>
      <c r="L20" s="5"/>
      <c r="M20" s="5"/>
      <c r="N20" s="5"/>
      <c r="O20" s="5"/>
      <c r="P20" s="6"/>
    </row>
    <row r="21" spans="1:16" x14ac:dyDescent="0.25">
      <c r="A21" s="5"/>
      <c r="B21" s="5"/>
      <c r="C21" s="5"/>
      <c r="D21" s="5"/>
      <c r="E21" s="5"/>
      <c r="F21" s="5"/>
      <c r="G21" s="5"/>
      <c r="H21" s="3"/>
      <c r="I21" s="3"/>
      <c r="J21" s="5"/>
      <c r="K21" s="5"/>
      <c r="L21" s="5"/>
      <c r="M21" s="5"/>
      <c r="N21" s="5"/>
      <c r="O21" s="5"/>
      <c r="P21" s="6"/>
    </row>
    <row r="22" spans="1:16" x14ac:dyDescent="0.25">
      <c r="A22" s="5"/>
      <c r="B22" s="5"/>
      <c r="C22" s="5"/>
      <c r="D22" s="5"/>
      <c r="E22" s="5"/>
      <c r="F22" s="5"/>
      <c r="G22" s="5"/>
      <c r="H22" s="3"/>
      <c r="I22" s="3"/>
      <c r="J22" s="5"/>
      <c r="K22" s="5"/>
      <c r="L22" s="5"/>
      <c r="M22" s="5"/>
      <c r="N22" s="5"/>
      <c r="O22" s="5"/>
      <c r="P22" s="6"/>
    </row>
    <row r="23" spans="1:16" x14ac:dyDescent="0.25">
      <c r="A23" s="5"/>
      <c r="B23" s="5"/>
      <c r="C23" s="5"/>
      <c r="D23" s="5"/>
      <c r="E23" s="5"/>
      <c r="F23" s="5"/>
      <c r="G23" s="5"/>
      <c r="H23" s="3"/>
      <c r="I23" s="3"/>
      <c r="J23" s="5"/>
      <c r="K23" s="5"/>
      <c r="L23" s="5"/>
      <c r="M23" s="5"/>
      <c r="N23" s="5"/>
      <c r="O23" s="5"/>
      <c r="P23" s="6"/>
    </row>
    <row r="24" spans="1:16" x14ac:dyDescent="0.25">
      <c r="A24" s="5"/>
      <c r="B24" s="5"/>
      <c r="C24" s="5"/>
      <c r="D24" s="5"/>
      <c r="E24" s="5"/>
      <c r="F24" s="5"/>
      <c r="G24" s="5"/>
      <c r="H24" s="3"/>
      <c r="I24" s="3"/>
      <c r="J24" s="5"/>
      <c r="K24" s="5"/>
      <c r="L24" s="5"/>
      <c r="M24" s="5"/>
      <c r="N24" s="5"/>
      <c r="O24" s="5"/>
      <c r="P24" s="5"/>
    </row>
    <row r="25" spans="1:16" x14ac:dyDescent="0.25">
      <c r="A25" s="5"/>
      <c r="B25" s="5"/>
      <c r="C25" s="5"/>
      <c r="D25" s="5"/>
      <c r="E25" s="5"/>
      <c r="F25" s="5"/>
      <c r="G25" s="5"/>
      <c r="H25" s="3"/>
      <c r="I25" s="3"/>
      <c r="J25" s="5"/>
      <c r="K25" s="5"/>
      <c r="L25" s="5"/>
      <c r="M25" s="5"/>
      <c r="N25" s="5"/>
      <c r="O25" s="5"/>
      <c r="P25" s="5"/>
    </row>
  </sheetData>
  <phoneticPr fontId="4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0" r:id="rId4" name="Button 42">
              <controlPr defaultSize="0" print="0" autoFill="0" autoPict="0" macro="[0]!LoadData">
                <anchor moveWithCells="1" sizeWithCells="1">
                  <from>
                    <xdr:col>8</xdr:col>
                    <xdr:colOff>352425</xdr:colOff>
                    <xdr:row>0</xdr:row>
                    <xdr:rowOff>0</xdr:rowOff>
                  </from>
                  <to>
                    <xdr:col>9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5" name="Button 43">
              <controlPr defaultSize="0" print="0" autoFill="0" autoPict="0" macro="[0]!DoCreateIssue">
                <anchor moveWithCells="1" sizeWithCells="1">
                  <from>
                    <xdr:col>10</xdr:col>
                    <xdr:colOff>504825</xdr:colOff>
                    <xdr:row>0</xdr:row>
                    <xdr:rowOff>19050</xdr:rowOff>
                  </from>
                  <to>
                    <xdr:col>11</xdr:col>
                    <xdr:colOff>523875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A1E036A-79C1-4BC6-BE71-1B52A54ACB42}">
          <x14:formula1>
            <xm:f>OFFSET(Projects!$A$5,0,0,COUNTA(Projects!$A:$A),1)</xm:f>
          </x14:formula1>
          <xm:sqref>B1</xm:sqref>
        </x14:dataValidation>
        <x14:dataValidation type="list" allowBlank="1" showInputMessage="1" showErrorMessage="1" xr:uid="{6C305C99-09E7-4501-BA9E-C1945518A213}">
          <x14:formula1>
            <xm:f>OFFSET(Projects!$I$5,0,0,COUNTA(Projects!$I:$I),1)</xm:f>
          </x14:formula1>
          <xm:sqref>L5:L6</xm:sqref>
        </x14:dataValidation>
        <x14:dataValidation type="list" allowBlank="1" showInputMessage="1" showErrorMessage="1" xr:uid="{9B6FED96-70FF-48E8-BAD3-8B1A6D9E9829}">
          <x14:formula1>
            <xm:f>Projects!$C$5:$C$24</xm:f>
          </x14:formula1>
          <xm:sqref>B25 B10:B11 B22:B23 B19:B20 B16:B17 B13:B14 B7:B8 C6</xm:sqref>
        </x14:dataValidation>
        <x14:dataValidation type="list" allowBlank="1" showInputMessage="1" showErrorMessage="1" xr:uid="{4E69E4C7-5BE2-4380-B276-FAF12CB5EC20}">
          <x14:formula1>
            <xm:f>OFFSET(Projects!$E$5,0,0,COUNTA(Projects!$E:$E),1)</xm:f>
          </x14:formula1>
          <xm:sqref>G25 G10:G11 G13:G14 G16:G17 G19:G20 G22:G23 G5:G8</xm:sqref>
        </x14:dataValidation>
        <x14:dataValidation type="list" allowBlank="1" showInputMessage="1" showErrorMessage="1" xr:uid="{173C3E5F-84DB-4C6B-A337-300034620F9F}">
          <x14:formula1>
            <xm:f>OFFSET(Projects!$G$5,0,0,COUNTA(Projects!$G:$G),1)</xm:f>
          </x14:formula1>
          <xm:sqref>E25 E10:E11 E22:E23 E19:E20 E16:E17 E13:E14 E5:E8</xm:sqref>
        </x14:dataValidation>
        <x14:dataValidation type="list" allowBlank="1" showInputMessage="1" showErrorMessage="1" xr:uid="{4A8D6EA5-752C-416B-9D7D-43B45216BAD0}">
          <x14:formula1>
            <xm:f>OFFSET(Projects!$J$5,0,0,COUNTA(Projects!$J:$J),1)</xm:f>
          </x14:formula1>
          <xm:sqref>D25 D10:D11 D22:D23 D19:D20 D16:D17 D13:D14 D5:D8</xm:sqref>
        </x14:dataValidation>
        <x14:dataValidation type="list" allowBlank="1" showInputMessage="1" showErrorMessage="1" xr:uid="{82DAB512-870B-4CA9-97DD-91094BEFB6A6}">
          <x14:formula1>
            <xm:f>OFFSET(Projects!$L$5,0,0,COUNTA(Projects!$L:$L),1)</xm:f>
          </x14:formula1>
          <xm:sqref>P25 P22:P23 P10:P11 P13:P14 P16:P17 P19:P20 P5:P8</xm:sqref>
        </x14:dataValidation>
        <x14:dataValidation type="list" allowBlank="1" showInputMessage="1" showErrorMessage="1" xr:uid="{6423D4E5-01A3-42CD-9F4D-324E4459EBBC}">
          <x14:formula1>
            <xm:f>OFFSET(Projects!$I$5,0,0,COUNTA($M:$M),1)</xm:f>
          </x14:formula1>
          <xm:sqref>L7:L8 L25 L10:L11 L13:L14 L16:L17 L19:L20 L22:L23</xm:sqref>
        </x14:dataValidation>
        <x14:dataValidation type="list" allowBlank="1" showInputMessage="1" showErrorMessage="1" xr:uid="{B295E7E6-22D6-45E8-BDF9-FAD5DB24312D}">
          <x14:formula1>
            <xm:f>OFFSET(Projects!$C$5,0,0,COUNTA(Projects!$C:$C),1)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4B60-2D77-4E4A-A2E1-50BDC1C4EAE2}">
  <sheetPr codeName="Sheet3"/>
  <dimension ref="A5:P6"/>
  <sheetViews>
    <sheetView workbookViewId="0">
      <selection activeCell="G11" sqref="G11"/>
    </sheetView>
  </sheetViews>
  <sheetFormatPr defaultRowHeight="15" x14ac:dyDescent="0.25"/>
  <cols>
    <col min="1" max="1" width="9.5703125" bestFit="1" customWidth="1"/>
    <col min="2" max="2" width="10.5703125" bestFit="1" customWidth="1"/>
    <col min="3" max="3" width="10.42578125" bestFit="1" customWidth="1"/>
    <col min="4" max="4" width="10.7109375" bestFit="1" customWidth="1"/>
    <col min="5" max="5" width="12.5703125" bestFit="1" customWidth="1"/>
    <col min="7" max="7" width="12.5703125" bestFit="1" customWidth="1"/>
    <col min="8" max="8" width="9.7109375" bestFit="1" customWidth="1"/>
    <col min="9" max="9" width="13.28515625" bestFit="1" customWidth="1"/>
    <col min="10" max="10" width="12.28515625" bestFit="1" customWidth="1"/>
    <col min="11" max="11" width="11.7109375" bestFit="1" customWidth="1"/>
    <col min="12" max="12" width="13" bestFit="1" customWidth="1"/>
    <col min="13" max="13" width="18.42578125" bestFit="1" customWidth="1"/>
    <col min="14" max="15" width="14.7109375" bestFit="1" customWidth="1"/>
    <col min="16" max="16" width="15.140625" bestFit="1" customWidth="1"/>
  </cols>
  <sheetData>
    <row r="5" spans="1:16" ht="15.75" thickBot="1" x14ac:dyDescent="0.3">
      <c r="A5" s="8" t="s">
        <v>1</v>
      </c>
      <c r="B5" s="9" t="s">
        <v>37</v>
      </c>
      <c r="C5" s="9" t="s">
        <v>4</v>
      </c>
      <c r="D5" s="9" t="s">
        <v>17</v>
      </c>
      <c r="E5" s="9" t="s">
        <v>18</v>
      </c>
      <c r="F5" s="9" t="s">
        <v>19</v>
      </c>
      <c r="G5" s="9" t="s">
        <v>20</v>
      </c>
      <c r="H5" s="9" t="s">
        <v>2</v>
      </c>
      <c r="I5" s="9" t="s">
        <v>3</v>
      </c>
      <c r="J5" s="9" t="s">
        <v>21</v>
      </c>
      <c r="K5" s="9" t="s">
        <v>22</v>
      </c>
      <c r="L5" s="9" t="s">
        <v>23</v>
      </c>
      <c r="M5" s="9" t="s">
        <v>24</v>
      </c>
      <c r="N5" s="9" t="s">
        <v>26</v>
      </c>
      <c r="O5" s="9" t="s">
        <v>38</v>
      </c>
      <c r="P5" s="10" t="s">
        <v>36</v>
      </c>
    </row>
    <row r="6" spans="1:16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fetchData">
                <anchor moveWithCells="1" sizeWithCells="1">
                  <from>
                    <xdr:col>16</xdr:col>
                    <xdr:colOff>590550</xdr:colOff>
                    <xdr:row>0</xdr:row>
                    <xdr:rowOff>0</xdr:rowOff>
                  </from>
                  <to>
                    <xdr:col>18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A453-8CFB-44A5-8BD5-A251EC1207A2}">
  <sheetPr codeName="Sheet4"/>
  <dimension ref="A1:D10"/>
  <sheetViews>
    <sheetView workbookViewId="0">
      <pane ySplit="1" topLeftCell="A2" activePane="bottomLeft" state="frozenSplit"/>
      <selection pane="bottomLeft" activeCell="G15" sqref="G15"/>
    </sheetView>
  </sheetViews>
  <sheetFormatPr defaultRowHeight="15" x14ac:dyDescent="0.25"/>
  <cols>
    <col min="1" max="3" width="19.85546875" bestFit="1" customWidth="1"/>
  </cols>
  <sheetData>
    <row r="1" spans="1:4" x14ac:dyDescent="0.25">
      <c r="A1" s="7"/>
      <c r="B1" s="7"/>
      <c r="C1" s="7"/>
      <c r="D1" s="7"/>
    </row>
    <row r="2" spans="1:4" x14ac:dyDescent="0.25">
      <c r="A2" s="7"/>
      <c r="B2" s="7"/>
      <c r="C2" s="7"/>
      <c r="D2" s="7"/>
    </row>
    <row r="3" spans="1:4" x14ac:dyDescent="0.25">
      <c r="A3" s="7"/>
      <c r="B3" s="7"/>
      <c r="C3" s="7"/>
      <c r="D3" s="7"/>
    </row>
    <row r="10" spans="1:4" x14ac:dyDescent="0.25">
      <c r="A10" s="11"/>
      <c r="B10" s="11"/>
      <c r="C1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3CE9-EEFB-4F29-8C6A-E90246FB6D0A}">
  <sheetPr codeName="Sheet5"/>
  <dimension ref="A1:Q31"/>
  <sheetViews>
    <sheetView workbookViewId="0">
      <selection activeCell="I19" sqref="I19"/>
    </sheetView>
  </sheetViews>
  <sheetFormatPr defaultRowHeight="15" x14ac:dyDescent="0.25"/>
  <sheetData>
    <row r="1" spans="1:17" x14ac:dyDescent="0.25">
      <c r="A1" t="s">
        <v>41</v>
      </c>
      <c r="C1" t="s">
        <v>66</v>
      </c>
      <c r="E1" t="s">
        <v>40</v>
      </c>
      <c r="G1" t="str">
        <f>_xlfn.CONCAT(C1,A1,C1,E1)</f>
        <v>"&lt;issue&gt;" &amp; _</v>
      </c>
    </row>
    <row r="2" spans="1:17" x14ac:dyDescent="0.25">
      <c r="A2" t="s">
        <v>42</v>
      </c>
      <c r="C2" t="s">
        <v>66</v>
      </c>
      <c r="E2" t="s">
        <v>40</v>
      </c>
      <c r="G2" t="str">
        <f t="shared" ref="G2:G26" si="0">_xlfn.CONCAT(C2,A2,C2,E2)</f>
        <v>"&lt;id&gt;62&lt;/id&gt;" &amp; _</v>
      </c>
    </row>
    <row r="3" spans="1:17" x14ac:dyDescent="0.25">
      <c r="A3" t="s">
        <v>43</v>
      </c>
      <c r="C3" t="s">
        <v>66</v>
      </c>
      <c r="E3" t="s">
        <v>40</v>
      </c>
      <c r="G3" t="str">
        <f t="shared" si="0"/>
        <v>"&lt;project id="1" name="TEST_MINHBB" /&gt;" &amp; _</v>
      </c>
    </row>
    <row r="4" spans="1:17" x14ac:dyDescent="0.25">
      <c r="A4" t="s">
        <v>44</v>
      </c>
      <c r="C4" t="s">
        <v>66</v>
      </c>
      <c r="E4" t="s">
        <v>40</v>
      </c>
      <c r="G4" t="str">
        <f t="shared" si="0"/>
        <v>"&lt;tracker id="1" name="Bug" /&gt;" &amp; _</v>
      </c>
    </row>
    <row r="5" spans="1:17" x14ac:dyDescent="0.25">
      <c r="A5" t="s">
        <v>45</v>
      </c>
      <c r="C5" t="s">
        <v>66</v>
      </c>
      <c r="E5" t="s">
        <v>40</v>
      </c>
      <c r="G5" t="str">
        <f t="shared" si="0"/>
        <v>"&lt;status id="5" name="In Progress" /&gt;" &amp; _</v>
      </c>
    </row>
    <row r="6" spans="1:17" x14ac:dyDescent="0.25">
      <c r="A6" t="s">
        <v>46</v>
      </c>
      <c r="C6" t="s">
        <v>66</v>
      </c>
      <c r="E6" t="s">
        <v>40</v>
      </c>
      <c r="G6" t="str">
        <f t="shared" si="0"/>
        <v>"&lt;priority id="1" name="Normal" /&gt;" &amp; _</v>
      </c>
    </row>
    <row r="7" spans="1:17" x14ac:dyDescent="0.25">
      <c r="A7" t="s">
        <v>47</v>
      </c>
      <c r="C7" t="s">
        <v>66</v>
      </c>
      <c r="E7" t="s">
        <v>40</v>
      </c>
      <c r="G7" t="str">
        <f t="shared" si="0"/>
        <v>"&lt;author id="3" name="Anonymous" /&gt;" &amp; _</v>
      </c>
    </row>
    <row r="8" spans="1:17" x14ac:dyDescent="0.25">
      <c r="A8" t="s">
        <v>48</v>
      </c>
      <c r="C8" t="s">
        <v>66</v>
      </c>
      <c r="E8" t="s">
        <v>40</v>
      </c>
      <c r="G8" t="str">
        <f t="shared" si="0"/>
        <v>"&lt;assigned_to id="5" name="minh2 minh2" /&gt;" &amp; _</v>
      </c>
    </row>
    <row r="9" spans="1:17" x14ac:dyDescent="0.25">
      <c r="A9" t="s">
        <v>49</v>
      </c>
      <c r="C9" t="s">
        <v>66</v>
      </c>
      <c r="E9" t="s">
        <v>40</v>
      </c>
      <c r="G9" t="str">
        <f t="shared" si="0"/>
        <v>"&lt;subject&gt;rrrrrrrrnew 11&lt;/subject&gt;" &amp; _</v>
      </c>
    </row>
    <row r="10" spans="1:17" x14ac:dyDescent="0.25">
      <c r="A10" t="s">
        <v>50</v>
      </c>
      <c r="C10" t="s">
        <v>66</v>
      </c>
      <c r="E10" t="s">
        <v>40</v>
      </c>
      <c r="G10" t="str">
        <f t="shared" si="0"/>
        <v>"&lt;description /&gt;" &amp; _</v>
      </c>
    </row>
    <row r="11" spans="1:17" x14ac:dyDescent="0.25">
      <c r="A11" t="s">
        <v>51</v>
      </c>
      <c r="C11" t="s">
        <v>66</v>
      </c>
      <c r="E11" t="s">
        <v>40</v>
      </c>
      <c r="G11" t="str">
        <f t="shared" si="0"/>
        <v>"&lt;start_date&gt;2020-08-30&lt;/start_date&gt;" &amp; _</v>
      </c>
      <c r="Q11" t="s">
        <v>67</v>
      </c>
    </row>
    <row r="12" spans="1:17" x14ac:dyDescent="0.25">
      <c r="A12" t="s">
        <v>52</v>
      </c>
      <c r="C12" t="s">
        <v>66</v>
      </c>
      <c r="E12" t="s">
        <v>40</v>
      </c>
      <c r="G12" t="str">
        <f t="shared" si="0"/>
        <v>"&lt;due_date /&gt;" &amp; _</v>
      </c>
    </row>
    <row r="13" spans="1:17" x14ac:dyDescent="0.25">
      <c r="A13" t="s">
        <v>53</v>
      </c>
      <c r="C13" t="s">
        <v>66</v>
      </c>
      <c r="E13" t="s">
        <v>40</v>
      </c>
      <c r="G13" t="str">
        <f t="shared" si="0"/>
        <v>"&lt;done_ratio&gt;0&lt;/done_ratio&gt;" &amp; _</v>
      </c>
    </row>
    <row r="14" spans="1:17" x14ac:dyDescent="0.25">
      <c r="A14" t="s">
        <v>54</v>
      </c>
      <c r="C14" t="s">
        <v>66</v>
      </c>
      <c r="E14" t="s">
        <v>40</v>
      </c>
      <c r="G14" t="str">
        <f t="shared" si="0"/>
        <v>"&lt;estimated_hours /&gt;" &amp; _</v>
      </c>
    </row>
    <row r="15" spans="1:17" x14ac:dyDescent="0.25">
      <c r="A15" t="s">
        <v>55</v>
      </c>
      <c r="C15" t="s">
        <v>66</v>
      </c>
      <c r="E15" t="s">
        <v>40</v>
      </c>
      <c r="G15" t="str">
        <f t="shared" si="0"/>
        <v>"&lt;custom_fields type="array"&gt;" &amp; _</v>
      </c>
    </row>
    <row r="16" spans="1:17" x14ac:dyDescent="0.25">
      <c r="A16" t="s">
        <v>56</v>
      </c>
      <c r="C16" t="s">
        <v>66</v>
      </c>
      <c r="E16" t="s">
        <v>40</v>
      </c>
      <c r="G16" t="str">
        <f t="shared" si="0"/>
        <v>" &lt;custom_field id="1" name="Inccurred by"&gt;" &amp; _</v>
      </c>
    </row>
    <row r="17" spans="1:16" x14ac:dyDescent="0.25">
      <c r="A17" t="s">
        <v>57</v>
      </c>
      <c r="C17" t="s">
        <v>66</v>
      </c>
      <c r="E17" t="s">
        <v>40</v>
      </c>
      <c r="G17" t="str">
        <f t="shared" si="0"/>
        <v>"    &lt;value&gt;Multiple values&lt;/value&gt;" &amp; _</v>
      </c>
    </row>
    <row r="18" spans="1:16" x14ac:dyDescent="0.25">
      <c r="A18" t="s">
        <v>58</v>
      </c>
      <c r="C18" t="s">
        <v>66</v>
      </c>
      <c r="E18" t="s">
        <v>40</v>
      </c>
      <c r="G18" t="str">
        <f t="shared" si="0"/>
        <v>" &lt;/custom_field&gt;" &amp; _</v>
      </c>
    </row>
    <row r="19" spans="1:16" x14ac:dyDescent="0.25">
      <c r="A19" t="s">
        <v>59</v>
      </c>
      <c r="C19" t="s">
        <v>66</v>
      </c>
      <c r="E19" t="s">
        <v>40</v>
      </c>
      <c r="G19" t="str">
        <f t="shared" si="0"/>
        <v>" &lt;custom_field id="2" name="level"&gt;" &amp; _</v>
      </c>
    </row>
    <row r="20" spans="1:16" x14ac:dyDescent="0.25">
      <c r="A20" t="s">
        <v>60</v>
      </c>
      <c r="C20" t="s">
        <v>66</v>
      </c>
      <c r="E20" t="s">
        <v>40</v>
      </c>
      <c r="G20" t="str">
        <f t="shared" si="0"/>
        <v>"    &lt;value /&gt;" &amp; _</v>
      </c>
    </row>
    <row r="21" spans="1:16" x14ac:dyDescent="0.25">
      <c r="A21" t="s">
        <v>58</v>
      </c>
      <c r="C21" t="s">
        <v>66</v>
      </c>
      <c r="E21" t="s">
        <v>40</v>
      </c>
      <c r="G21" t="str">
        <f t="shared" si="0"/>
        <v>" &lt;/custom_field&gt;" &amp; _</v>
      </c>
    </row>
    <row r="22" spans="1:16" x14ac:dyDescent="0.25">
      <c r="A22" t="s">
        <v>61</v>
      </c>
      <c r="C22" t="s">
        <v>66</v>
      </c>
      <c r="E22" t="s">
        <v>40</v>
      </c>
      <c r="G22" t="str">
        <f t="shared" si="0"/>
        <v>"&lt;/custom_fields&gt;" &amp; _</v>
      </c>
    </row>
    <row r="23" spans="1:16" x14ac:dyDescent="0.25">
      <c r="A23" t="s">
        <v>62</v>
      </c>
      <c r="C23" t="s">
        <v>66</v>
      </c>
      <c r="E23" t="s">
        <v>40</v>
      </c>
      <c r="G23" t="str">
        <f t="shared" si="0"/>
        <v>"&lt;created_on&gt;2020-08-30T06:07:16Z&lt;/created_on&gt;" &amp; _</v>
      </c>
    </row>
    <row r="24" spans="1:16" x14ac:dyDescent="0.25">
      <c r="A24" t="s">
        <v>63</v>
      </c>
      <c r="C24" t="s">
        <v>66</v>
      </c>
      <c r="E24" t="s">
        <v>40</v>
      </c>
      <c r="G24" t="str">
        <f t="shared" si="0"/>
        <v>"&lt;updated_on&gt;2020-08-30T06:07:16Z&lt;/updated_on&gt;" &amp; _</v>
      </c>
    </row>
    <row r="25" spans="1:16" x14ac:dyDescent="0.25">
      <c r="A25" t="s">
        <v>64</v>
      </c>
      <c r="C25" t="s">
        <v>66</v>
      </c>
      <c r="E25" t="s">
        <v>40</v>
      </c>
      <c r="G25" t="str">
        <f t="shared" si="0"/>
        <v>"&lt;closed_on /&gt;" &amp; _</v>
      </c>
    </row>
    <row r="26" spans="1:16" x14ac:dyDescent="0.25">
      <c r="A26" t="s">
        <v>65</v>
      </c>
      <c r="C26" t="s">
        <v>66</v>
      </c>
      <c r="E26" t="s">
        <v>40</v>
      </c>
      <c r="G26" t="str">
        <f t="shared" si="0"/>
        <v>"&lt;/issue&gt;" &amp; _</v>
      </c>
    </row>
    <row r="30" spans="1:16" ht="15.75" thickBot="1" x14ac:dyDescent="0.3">
      <c r="A30" s="8" t="s">
        <v>1</v>
      </c>
      <c r="B30" s="9" t="s">
        <v>37</v>
      </c>
      <c r="C30" s="9" t="s">
        <v>4</v>
      </c>
      <c r="D30" s="9" t="s">
        <v>17</v>
      </c>
      <c r="E30" s="9" t="s">
        <v>18</v>
      </c>
      <c r="F30" s="9" t="s">
        <v>19</v>
      </c>
      <c r="G30" s="9" t="s">
        <v>20</v>
      </c>
      <c r="H30" s="9" t="s">
        <v>2</v>
      </c>
      <c r="I30" s="9" t="s">
        <v>3</v>
      </c>
      <c r="J30" s="9" t="s">
        <v>21</v>
      </c>
      <c r="K30" s="9" t="s">
        <v>22</v>
      </c>
      <c r="L30" s="9" t="s">
        <v>23</v>
      </c>
      <c r="M30" s="9" t="s">
        <v>24</v>
      </c>
      <c r="N30" s="9" t="s">
        <v>26</v>
      </c>
      <c r="O30" s="9" t="s">
        <v>38</v>
      </c>
      <c r="P30" s="10" t="s">
        <v>36</v>
      </c>
    </row>
    <row r="31" spans="1:16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Projects</vt:lpstr>
      <vt:lpstr>LogBug</vt:lpstr>
      <vt:lpstr>UpdateBug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MinhBB</dc:creator>
  <cp:lastModifiedBy>Windows User</cp:lastModifiedBy>
  <cp:lastPrinted>2020-08-26T14:29:23Z</cp:lastPrinted>
  <dcterms:created xsi:type="dcterms:W3CDTF">2020-08-24T07:17:21Z</dcterms:created>
  <dcterms:modified xsi:type="dcterms:W3CDTF">2021-04-26T14:40:56Z</dcterms:modified>
</cp:coreProperties>
</file>